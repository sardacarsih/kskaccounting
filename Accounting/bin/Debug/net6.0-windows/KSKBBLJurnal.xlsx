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urnal Entries" sheetId="1" r:id="rId1"/>
  </sheets>
  <calcPr fullCalcOnLoad="1"/>
</workbook>
</file>

<file path=xl/sharedStrings.xml><?xml version="1.0" encoding="utf-8"?>
<sst xmlns="http://schemas.openxmlformats.org/spreadsheetml/2006/main" count="55" uniqueCount="55">
  <si>
    <t>NoJurnal</t>
  </si>
  <si>
    <t>Tanggal</t>
  </si>
  <si>
    <t>RowNo</t>
  </si>
  <si>
    <t>Kode</t>
  </si>
  <si>
    <t>Rekening</t>
  </si>
  <si>
    <t>Debet</t>
  </si>
  <si>
    <t>Kredit</t>
  </si>
  <si>
    <t>Keterangan</t>
  </si>
  <si>
    <t>Posted</t>
  </si>
  <si>
    <t>Periode</t>
  </si>
  <si>
    <t>202301-R2/HARIAN-RAWAT/BL22-Divisi III Plasma</t>
  </si>
  <si>
    <t>20.21083.513</t>
  </si>
  <si>
    <t xml:space="preserve">(Divisi II Plasma AA-26) Gawangan Chemical Lalang Spot - Labour                                     </t>
  </si>
  <si>
    <t xml:space="preserve">AA-26  Divisi III Plasma BBL R2 Januari 2023; Gawangan Chemical Lalang Spot 9,14 Ha=9 HK</t>
  </si>
  <si>
    <t>True</t>
  </si>
  <si>
    <t>01/2023</t>
  </si>
  <si>
    <t>81.21085.513</t>
  </si>
  <si>
    <t xml:space="preserve">(Divisi II Plasma AA-28) Gawangan Chemical Lalang Spot - Labour                                     </t>
  </si>
  <si>
    <t xml:space="preserve">AA-28  Divisi III Plasma BBL R2 Januari 2023; Gawangan Chemical Lalang Spot 6 Ha=6 HK</t>
  </si>
  <si>
    <t>81.21084.602</t>
  </si>
  <si>
    <t xml:space="preserve">(Divisi II Plasma AA-27) Konsolidasi - Labour                                                       </t>
  </si>
  <si>
    <t xml:space="preserve">AA-27  Divisi III Plasma BBL R2 Januari 2023; Konsolidasi, Peyemprotan &amp; Pelepasan Serangga Penyerbuk 19,75 Ha=0,2 HK</t>
  </si>
  <si>
    <t>81.21085.602</t>
  </si>
  <si>
    <t xml:space="preserve">(Divisi II Plasma AA-28) Konsolidasi - Labour                                                       </t>
  </si>
  <si>
    <t xml:space="preserve">AA-28  Divisi III Plasma BBL R2 Januari 2023; Konsolidasi, Peyemprotan &amp; Pelepasan Serangga Penyerbuk 24,71 Ha=0,3 HK</t>
  </si>
  <si>
    <t>81.21082.602</t>
  </si>
  <si>
    <t xml:space="preserve">(Divisi II Plasma AA-29) Konsolidasi - Labour                                                       </t>
  </si>
  <si>
    <t xml:space="preserve">AA-29  Divisi III Plasma BBL R2 Januari 2023; Konsolidasi, Peyemprotan &amp; Pelepasan Serangga Penyerbuk 31,4 Ha=0,4 HK</t>
  </si>
  <si>
    <t>81.21086.602</t>
  </si>
  <si>
    <t xml:space="preserve">(Divisi II Plasma AA-30) Konsolidasi - Labour                                                       </t>
  </si>
  <si>
    <t xml:space="preserve">AA-30  Divisi III Plasma BBL R2 Januari 2023; Konsolidasi, Peyemprotan &amp; Pelepasan Serangga Penyerbuk 14,75 Ha=0,1 HK</t>
  </si>
  <si>
    <t>81.21059.602</t>
  </si>
  <si>
    <t xml:space="preserve">(Divisi III Plasma B-23) Konsolidasi - Labour                                                       </t>
  </si>
  <si>
    <t xml:space="preserve">B-23  Divisi III Plasma BBL R2 Januari 2023; Konsolidasi, Peyemprotan &amp; Pelepasan Serangga Penyerbuk 20,92 Ha=0,2 HK</t>
  </si>
  <si>
    <t>81.21060.602</t>
  </si>
  <si>
    <t xml:space="preserve">(Divisi III Plasma B-24) Konsolidasi - Labour                                                       </t>
  </si>
  <si>
    <t xml:space="preserve">B-24  Divisi III Plasma BBL R2 Januari 2023; Konsolidasi, Peyemprotan &amp; Pelepasan Serangga Penyerbuk 25,24 Ha=0,4 HK</t>
  </si>
  <si>
    <t>81.21061.602</t>
  </si>
  <si>
    <t xml:space="preserve">(Divisi III Plasma B-25) Konsolidasi - Labour                                                       </t>
  </si>
  <si>
    <t xml:space="preserve">B-25  Divisi III Plasma BBL R2 Januari 2023; Konsolidasi, Peyemprotan &amp; Pelepasan Serangga Penyerbuk 24,93 Ha=0,2 HK</t>
  </si>
  <si>
    <t>81.21062.602</t>
  </si>
  <si>
    <t xml:space="preserve">(Divisi III Plasma B-26) Konsolidasi - Labour                                                       </t>
  </si>
  <si>
    <t xml:space="preserve">B-26  Divisi III Plasma BBL R2 Januari 2023; Konsolidasi, Peyemprotan &amp; Pelepasan Serangga Penyerbuk 24,95 Ha=0,2 HK</t>
  </si>
  <si>
    <t>81.21053.502</t>
  </si>
  <si>
    <t xml:space="preserve">(Divisi III Plasma A-29) Piringan Chemical - Labour                                                 </t>
  </si>
  <si>
    <t xml:space="preserve">A-29  Divisi III Plasma BBL R2 Januari 2023; Piringan Chemical 9,96 Ha=7 HK</t>
  </si>
  <si>
    <t>81.21053.551</t>
  </si>
  <si>
    <t xml:space="preserve">(Divisi III Plasma A-29) Rawat Pasar &amp; Titi Pikul Chemical - Labour                                 </t>
  </si>
  <si>
    <t xml:space="preserve">A-29  Divisi III Plasma BBL R2 Januari 2023; Rwt Pasar/Titi Pikul Chemis 23,76 Ha=7 HK</t>
  </si>
  <si>
    <t>40.014.004</t>
  </si>
  <si>
    <t>Divisi III Plasma BBL R2 Januari 2023; Rawat, Pemeliharaan, Mesin/Instl Air 4,5 Jam</t>
  </si>
  <si>
    <t>Divisi III Plasma BBL R2 Januari 2023; Rawat, Pemeliharaan, Takmir Masjid 3 HK</t>
  </si>
  <si>
    <t>Divisi III Plasma BBL R2 Januari 2023; Rawat, Pengasuh Anak 3 HK</t>
  </si>
  <si>
    <t>Divisi III Plasma BBL R2 Januari 2023; Uang Makan 0</t>
  </si>
  <si>
    <t>TOTAL BIAYA OPERASIONAL Divisi III Plasma REMISE 2 Januari 2023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</si>
</sst>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_);(#,##0.00);-_)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3">
    <xf numFmtId="0" fontId="0" xfId="0" applyProtection="1"/>
    <xf numFmtId="164" applyNumberFormat="1" fontId="0" applyProtection="1"/>
    <xf numFmtId="165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8"/>
  <sheetViews>
    <sheetView workbookViewId="0"/>
  </sheetViews>
  <sheetFormatPr defaultRowHeight="15"/>
  <cols>
    <col min="1" max="1" width="44.51936721801758" customWidth="1"/>
    <col min="2" max="2" width="11.437528610229492" customWidth="1"/>
    <col min="3" max="3" width="9.140625" customWidth="1"/>
    <col min="4" max="4" width="12.725568771362305" customWidth="1"/>
    <col min="5" max="5" width="57.4969482421875" customWidth="1"/>
    <col min="6" max="6" width="12.82480525970459" customWidth="1"/>
    <col min="7" max="7" width="12.82480525970459" customWidth="1"/>
    <col min="8" max="8" width="107.26395416259766" customWidth="1"/>
    <col min="9" max="9" width="9.140625" customWidth="1"/>
    <col min="10" max="10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1">
        <v>44957</v>
      </c>
      <c r="C2" s="0">
        <f ref="C2:C18" t="shared" si="1">IF(A2&lt;&gt;A1,1,C1+1)</f>
      </c>
      <c r="D2" s="0" t="s">
        <v>11</v>
      </c>
      <c r="E2" s="0" t="s">
        <v>12</v>
      </c>
      <c r="F2" s="2">
        <v>1220184</v>
      </c>
      <c r="G2" s="2">
        <v>0</v>
      </c>
      <c r="H2" s="0" t="s">
        <v>13</v>
      </c>
      <c r="I2" s="0" t="s">
        <v>14</v>
      </c>
      <c r="J2" s="0" t="s">
        <v>15</v>
      </c>
    </row>
    <row r="3">
      <c r="A3" s="0" t="s">
        <v>10</v>
      </c>
      <c r="B3" s="1">
        <v>44957</v>
      </c>
      <c r="C3" s="0">
        <f t="shared" si="1"/>
      </c>
      <c r="D3" s="0" t="s">
        <v>16</v>
      </c>
      <c r="E3" s="0" t="s">
        <v>17</v>
      </c>
      <c r="F3" s="2">
        <v>813456</v>
      </c>
      <c r="G3" s="2">
        <v>0</v>
      </c>
      <c r="H3" s="0" t="s">
        <v>18</v>
      </c>
      <c r="I3" s="0" t="s">
        <v>14</v>
      </c>
      <c r="J3" s="0" t="s">
        <v>15</v>
      </c>
    </row>
    <row r="4">
      <c r="A4" s="0" t="s">
        <v>10</v>
      </c>
      <c r="B4" s="1">
        <v>44957</v>
      </c>
      <c r="C4" s="0">
        <f t="shared" si="1"/>
      </c>
      <c r="D4" s="0" t="s">
        <v>19</v>
      </c>
      <c r="E4" s="0" t="s">
        <v>20</v>
      </c>
      <c r="F4" s="2">
        <v>27115.2</v>
      </c>
      <c r="G4" s="2">
        <v>0</v>
      </c>
      <c r="H4" s="0" t="s">
        <v>21</v>
      </c>
      <c r="I4" s="0" t="s">
        <v>14</v>
      </c>
      <c r="J4" s="0" t="s">
        <v>15</v>
      </c>
    </row>
    <row r="5">
      <c r="A5" s="0" t="s">
        <v>10</v>
      </c>
      <c r="B5" s="1">
        <v>44957</v>
      </c>
      <c r="C5" s="0">
        <f t="shared" si="1"/>
      </c>
      <c r="D5" s="0" t="s">
        <v>22</v>
      </c>
      <c r="E5" s="0" t="s">
        <v>23</v>
      </c>
      <c r="F5" s="2">
        <v>40672.8</v>
      </c>
      <c r="G5" s="2">
        <v>0</v>
      </c>
      <c r="H5" s="0" t="s">
        <v>24</v>
      </c>
      <c r="I5" s="0" t="s">
        <v>14</v>
      </c>
      <c r="J5" s="0" t="s">
        <v>15</v>
      </c>
    </row>
    <row r="6">
      <c r="A6" s="0" t="s">
        <v>10</v>
      </c>
      <c r="B6" s="1">
        <v>44957</v>
      </c>
      <c r="C6" s="0">
        <f t="shared" si="1"/>
      </c>
      <c r="D6" s="0" t="s">
        <v>25</v>
      </c>
      <c r="E6" s="0" t="s">
        <v>26</v>
      </c>
      <c r="F6" s="2">
        <v>54230.4</v>
      </c>
      <c r="G6" s="2">
        <v>0</v>
      </c>
      <c r="H6" s="0" t="s">
        <v>27</v>
      </c>
      <c r="I6" s="0" t="s">
        <v>14</v>
      </c>
      <c r="J6" s="0" t="s">
        <v>15</v>
      </c>
    </row>
    <row r="7">
      <c r="A7" s="0" t="s">
        <v>10</v>
      </c>
      <c r="B7" s="1">
        <v>44957</v>
      </c>
      <c r="C7" s="0">
        <f t="shared" si="1"/>
      </c>
      <c r="D7" s="0" t="s">
        <v>28</v>
      </c>
      <c r="E7" s="0" t="s">
        <v>29</v>
      </c>
      <c r="F7" s="2">
        <v>13557.6</v>
      </c>
      <c r="G7" s="2">
        <v>0</v>
      </c>
      <c r="H7" s="0" t="s">
        <v>30</v>
      </c>
      <c r="I7" s="0" t="s">
        <v>14</v>
      </c>
      <c r="J7" s="0" t="s">
        <v>15</v>
      </c>
    </row>
    <row r="8">
      <c r="A8" s="0" t="s">
        <v>10</v>
      </c>
      <c r="B8" s="1">
        <v>44957</v>
      </c>
      <c r="C8" s="0">
        <f t="shared" si="1"/>
      </c>
      <c r="D8" s="0" t="s">
        <v>31</v>
      </c>
      <c r="E8" s="0" t="s">
        <v>32</v>
      </c>
      <c r="F8" s="2">
        <v>27115.2</v>
      </c>
      <c r="G8" s="2">
        <v>0</v>
      </c>
      <c r="H8" s="0" t="s">
        <v>33</v>
      </c>
      <c r="I8" s="0" t="s">
        <v>14</v>
      </c>
      <c r="J8" s="0" t="s">
        <v>15</v>
      </c>
    </row>
    <row r="9">
      <c r="A9" s="0" t="s">
        <v>10</v>
      </c>
      <c r="B9" s="1">
        <v>44957</v>
      </c>
      <c r="C9" s="0">
        <f t="shared" si="1"/>
      </c>
      <c r="D9" s="0" t="s">
        <v>34</v>
      </c>
      <c r="E9" s="0" t="s">
        <v>35</v>
      </c>
      <c r="F9" s="2">
        <v>54230.4</v>
      </c>
      <c r="G9" s="2">
        <v>0</v>
      </c>
      <c r="H9" s="0" t="s">
        <v>36</v>
      </c>
      <c r="I9" s="0" t="s">
        <v>14</v>
      </c>
      <c r="J9" s="0" t="s">
        <v>15</v>
      </c>
    </row>
    <row r="10">
      <c r="A10" s="0" t="s">
        <v>10</v>
      </c>
      <c r="B10" s="1">
        <v>44957</v>
      </c>
      <c r="C10" s="0">
        <f t="shared" si="1"/>
      </c>
      <c r="D10" s="0" t="s">
        <v>37</v>
      </c>
      <c r="E10" s="0" t="s">
        <v>38</v>
      </c>
      <c r="F10" s="2">
        <v>27115.2</v>
      </c>
      <c r="G10" s="2">
        <v>0</v>
      </c>
      <c r="H10" s="0" t="s">
        <v>39</v>
      </c>
      <c r="I10" s="0" t="s">
        <v>14</v>
      </c>
      <c r="J10" s="0" t="s">
        <v>15</v>
      </c>
    </row>
    <row r="11">
      <c r="A11" s="0" t="s">
        <v>10</v>
      </c>
      <c r="B11" s="1">
        <v>44957</v>
      </c>
      <c r="C11" s="0">
        <f t="shared" si="1"/>
      </c>
      <c r="D11" s="0" t="s">
        <v>40</v>
      </c>
      <c r="E11" s="0" t="s">
        <v>41</v>
      </c>
      <c r="F11" s="2">
        <v>27115.2</v>
      </c>
      <c r="G11" s="2">
        <v>0</v>
      </c>
      <c r="H11" s="0" t="s">
        <v>42</v>
      </c>
      <c r="I11" s="0" t="s">
        <v>14</v>
      </c>
      <c r="J11" s="0" t="s">
        <v>15</v>
      </c>
    </row>
    <row r="12">
      <c r="A12" s="0" t="s">
        <v>10</v>
      </c>
      <c r="B12" s="1">
        <v>44957</v>
      </c>
      <c r="C12" s="0">
        <f t="shared" si="1"/>
      </c>
      <c r="D12" s="0" t="s">
        <v>43</v>
      </c>
      <c r="E12" s="0" t="s">
        <v>44</v>
      </c>
      <c r="F12" s="2">
        <v>949032</v>
      </c>
      <c r="G12" s="2">
        <v>0</v>
      </c>
      <c r="H12" s="0" t="s">
        <v>45</v>
      </c>
      <c r="I12" s="0" t="s">
        <v>14</v>
      </c>
      <c r="J12" s="0" t="s">
        <v>15</v>
      </c>
    </row>
    <row r="13">
      <c r="A13" s="0" t="s">
        <v>10</v>
      </c>
      <c r="B13" s="1">
        <v>44957</v>
      </c>
      <c r="C13" s="0">
        <f t="shared" si="1"/>
      </c>
      <c r="D13" s="0" t="s">
        <v>46</v>
      </c>
      <c r="E13" s="0" t="s">
        <v>47</v>
      </c>
      <c r="F13" s="2">
        <v>949032</v>
      </c>
      <c r="G13" s="2">
        <v>0</v>
      </c>
      <c r="H13" s="0" t="s">
        <v>48</v>
      </c>
      <c r="I13" s="0" t="s">
        <v>14</v>
      </c>
      <c r="J13" s="0" t="s">
        <v>15</v>
      </c>
    </row>
    <row r="14">
      <c r="A14" s="0" t="s">
        <v>10</v>
      </c>
      <c r="B14" s="1">
        <v>44957</v>
      </c>
      <c r="C14" s="0">
        <f t="shared" si="1"/>
      </c>
      <c r="D14" s="0" t="s">
        <v>49</v>
      </c>
      <c r="F14" s="2">
        <v>87156</v>
      </c>
      <c r="G14" s="2">
        <v>0</v>
      </c>
      <c r="H14" s="0" t="s">
        <v>50</v>
      </c>
      <c r="I14" s="0" t="s">
        <v>14</v>
      </c>
      <c r="J14" s="0" t="s">
        <v>15</v>
      </c>
    </row>
    <row r="15">
      <c r="A15" s="0" t="s">
        <v>10</v>
      </c>
      <c r="B15" s="1">
        <v>44957</v>
      </c>
      <c r="C15" s="0">
        <f t="shared" si="1"/>
      </c>
      <c r="D15" s="0" t="s">
        <v>49</v>
      </c>
      <c r="F15" s="2">
        <v>406728</v>
      </c>
      <c r="G15" s="2">
        <v>0</v>
      </c>
      <c r="H15" s="0" t="s">
        <v>51</v>
      </c>
      <c r="I15" s="0" t="s">
        <v>14</v>
      </c>
      <c r="J15" s="0" t="s">
        <v>15</v>
      </c>
    </row>
    <row r="16">
      <c r="A16" s="0" t="s">
        <v>10</v>
      </c>
      <c r="B16" s="1">
        <v>44957</v>
      </c>
      <c r="C16" s="0">
        <f t="shared" si="1"/>
      </c>
      <c r="D16" s="0" t="s">
        <v>49</v>
      </c>
      <c r="F16" s="2">
        <v>406728</v>
      </c>
      <c r="G16" s="2">
        <v>0</v>
      </c>
      <c r="H16" s="0" t="s">
        <v>52</v>
      </c>
      <c r="I16" s="0" t="s">
        <v>14</v>
      </c>
      <c r="J16" s="0" t="s">
        <v>15</v>
      </c>
    </row>
    <row r="17">
      <c r="A17" s="0" t="s">
        <v>10</v>
      </c>
      <c r="B17" s="1">
        <v>44957</v>
      </c>
      <c r="C17" s="0">
        <f t="shared" si="1"/>
      </c>
      <c r="D17" s="0" t="s">
        <v>49</v>
      </c>
      <c r="F17" s="2">
        <v>37800</v>
      </c>
      <c r="G17" s="2">
        <v>0</v>
      </c>
      <c r="H17" s="0" t="s">
        <v>53</v>
      </c>
      <c r="I17" s="0" t="s">
        <v>14</v>
      </c>
      <c r="J17" s="0" t="s">
        <v>15</v>
      </c>
    </row>
    <row r="18">
      <c r="A18" s="0" t="s">
        <v>10</v>
      </c>
      <c r="B18" s="1">
        <v>44957</v>
      </c>
      <c r="C18" s="0">
        <f t="shared" si="1"/>
      </c>
      <c r="F18" s="2">
        <v>0</v>
      </c>
      <c r="G18" s="2">
        <v>5141268</v>
      </c>
      <c r="H18" s="0" t="s">
        <v>54</v>
      </c>
      <c r="I18" s="0" t="s">
        <v>14</v>
      </c>
      <c r="J18" s="0" t="s">
        <v>15</v>
      </c>
    </row>
  </sheetData>
  <headerFooter/>
</worksheet>
</file>